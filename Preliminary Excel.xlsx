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20" windowHeight="7620" tabRatio="649"/>
  </bookViews>
  <sheets>
    <sheet name="Summary" sheetId="1" r:id="rId1"/>
    <sheet name="Lights and Motorcycles" sheetId="23" r:id="rId2"/>
    <sheet name="Heavy" sheetId="24" r:id="rId3"/>
    <sheet name="Pedestrians" sheetId="25" r:id="rId4"/>
    <sheet name="Bicycles on Crosswalk" sheetId="26" r:id="rId5"/>
  </sheets>
  <definedNames>
    <definedName name="_xlnm._FilterDatabase" localSheetId="4" hidden="1">'Bicycles on Crosswalk'!$A$3:$S$9</definedName>
    <definedName name="_xlnm._FilterDatabase" localSheetId="2" hidden="1">Heavy!$A$3:$S$9</definedName>
    <definedName name="_xlnm._FilterDatabase" localSheetId="1" hidden="1">'Lights and Motorcycles'!$A$3:$S$9</definedName>
    <definedName name="_xlnm._FilterDatabase" localSheetId="3" hidden="1">Pedestrians!$A$3:$S$9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6"/>
  <c r="A4" i="25"/>
  <c r="A4" i="24"/>
  <c r="A5" i="26"/>
  <c r="A5" i="25"/>
  <c r="A5" i="24"/>
  <c r="A6" i="2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25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2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S3" i="26"/>
  <c r="R3"/>
  <c r="Q3"/>
  <c r="P3"/>
  <c r="O3"/>
  <c r="N3"/>
  <c r="M3"/>
  <c r="L3"/>
  <c r="K3"/>
  <c r="J3"/>
  <c r="I3"/>
  <c r="H3"/>
  <c r="G3"/>
  <c r="F3"/>
  <c r="E3"/>
  <c r="D3"/>
  <c r="C3"/>
  <c r="B3"/>
  <c r="A3"/>
  <c r="N2"/>
  <c r="H2"/>
  <c r="B2"/>
  <c r="A2"/>
  <c r="N1"/>
  <c r="H1"/>
  <c r="B1"/>
  <c r="A1"/>
  <c r="S3" i="25"/>
  <c r="R3"/>
  <c r="Q3"/>
  <c r="P3"/>
  <c r="O3"/>
  <c r="N3"/>
  <c r="M3"/>
  <c r="L3"/>
  <c r="K3"/>
  <c r="J3"/>
  <c r="I3"/>
  <c r="H3"/>
  <c r="G3"/>
  <c r="F3"/>
  <c r="E3"/>
  <c r="D3"/>
  <c r="C3"/>
  <c r="B3"/>
  <c r="A3"/>
  <c r="N2"/>
  <c r="H2"/>
  <c r="B2"/>
  <c r="A2"/>
  <c r="N1"/>
  <c r="H1"/>
  <c r="B1"/>
  <c r="A1"/>
  <c r="S3" i="24"/>
  <c r="R3"/>
  <c r="Q3"/>
  <c r="P3"/>
  <c r="O3"/>
  <c r="N3"/>
  <c r="M3"/>
  <c r="L3"/>
  <c r="K3"/>
  <c r="J3"/>
  <c r="I3"/>
  <c r="H3"/>
  <c r="G3"/>
  <c r="F3"/>
  <c r="E3"/>
  <c r="D3"/>
  <c r="C3"/>
  <c r="B3"/>
  <c r="A3"/>
  <c r="N2"/>
  <c r="H2"/>
  <c r="B2"/>
  <c r="A2"/>
  <c r="N1"/>
  <c r="H1"/>
  <c r="B1"/>
  <c r="A1"/>
</calcChain>
</file>

<file path=xl/sharedStrings.xml><?xml version="1.0" encoding="utf-8"?>
<sst xmlns="http://schemas.openxmlformats.org/spreadsheetml/2006/main" count="73" uniqueCount="35">
  <si>
    <t>Study Name</t>
  </si>
  <si>
    <t>Project</t>
  </si>
  <si>
    <t>Project Code</t>
  </si>
  <si>
    <t>Legs and Movements</t>
  </si>
  <si>
    <t>All Processed Legs &amp; Movements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</si>
  <si>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</si>
  <si>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</si>
  <si>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</si>
  <si>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</si>
  <si>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</si>
  <si>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</si>
  <si>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</si>
  <si>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Latitude and Longitude</t>
  </si>
  <si>
    <t/>
  </si>
  <si>
    <t>AM Peak</t>
  </si>
  <si>
    <t>Midday Peak</t>
  </si>
  <si>
    <t>PM Peak (Overall Peak Hour)</t>
  </si>
  <si>
    <t>Leg</t>
  </si>
  <si>
    <t>Direction</t>
  </si>
  <si>
    <t>Southbound</t>
  </si>
  <si>
    <t>Westbound</t>
  </si>
  <si>
    <t>Northbound</t>
  </si>
  <si>
    <t>Right</t>
  </si>
  <si>
    <t>Thru</t>
  </si>
  <si>
    <t>Left</t>
  </si>
  <si>
    <t>U-Turn</t>
  </si>
  <si>
    <t>Peds CW</t>
  </si>
  <si>
    <t>Peds CCW</t>
  </si>
  <si>
    <t>1 - US 301 ALT &amp; SE 53RD ST</t>
  </si>
  <si>
    <t>29.91393544 , -82.13417409</t>
  </si>
  <si>
    <t>26-017 US 301 South of Starke Traffic Counts</t>
  </si>
  <si>
    <t>26-017</t>
  </si>
  <si>
    <t>US 301</t>
  </si>
  <si>
    <t>SE 53RD ST</t>
  </si>
  <si>
    <t>US 301 ALT &amp; SE 53RD ST</t>
  </si>
</sst>
</file>

<file path=xl/styles.xml><?xml version="1.0" encoding="utf-8"?>
<styleSheet xmlns="http://schemas.openxmlformats.org/spreadsheetml/2006/main">
  <numFmts count="2">
    <numFmt numFmtId="164" formatCode="yyyy/mm/dd\ hh:mm:ss"/>
    <numFmt numFmtId="165" formatCode="0.000_ "/>
  </numFmts>
  <fonts count="3">
    <font>
      <sz val="11"/>
      <name val="Arial"/>
      <charset val="134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1" fillId="0" borderId="1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Fill="1" applyBorder="1" applyAlignment="1"/>
    <xf numFmtId="164" fontId="2" fillId="0" borderId="0" xfId="0" applyNumberFormat="1" applyFont="1" applyBorder="1" applyAlignment="1">
      <alignment horizontal="left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showOutlineSymbols="0" showWhiteSpace="0" workbookViewId="0">
      <selection activeCell="C1" sqref="C1"/>
    </sheetView>
  </sheetViews>
  <sheetFormatPr defaultColWidth="9" defaultRowHeight="14"/>
  <cols>
    <col min="1" max="1" width="25" customWidth="1"/>
    <col min="2" max="2" width="49.25" bestFit="1" customWidth="1"/>
  </cols>
  <sheetData>
    <row r="1" spans="1:2">
      <c r="A1" s="1" t="s">
        <v>0</v>
      </c>
      <c r="B1" s="7" t="s">
        <v>28</v>
      </c>
    </row>
    <row r="2" spans="1:2">
      <c r="A2" s="1" t="s">
        <v>1</v>
      </c>
      <c r="B2" s="7" t="s">
        <v>30</v>
      </c>
    </row>
    <row r="3" spans="1:2">
      <c r="A3" s="1" t="s">
        <v>2</v>
      </c>
      <c r="B3" s="7" t="s">
        <v>31</v>
      </c>
    </row>
    <row r="4" spans="1:2">
      <c r="A4" s="1" t="s">
        <v>3</v>
      </c>
      <c r="B4" s="1" t="s">
        <v>4</v>
      </c>
    </row>
    <row r="5" spans="1:2">
      <c r="A5" s="1" t="s">
        <v>5</v>
      </c>
      <c r="B5" s="1" t="s">
        <v>6</v>
      </c>
    </row>
    <row r="6" spans="1:2">
      <c r="A6" s="1" t="s">
        <v>7</v>
      </c>
      <c r="B6" s="1" t="s">
        <v>8</v>
      </c>
    </row>
    <row r="7" spans="1:2">
      <c r="A7" s="1" t="s">
        <v>9</v>
      </c>
      <c r="B7" s="2">
        <v>46050.270833333336</v>
      </c>
    </row>
    <row r="8" spans="1:2">
      <c r="A8" s="1" t="s">
        <v>10</v>
      </c>
      <c r="B8" s="2">
        <v>46050.770821759259</v>
      </c>
    </row>
    <row r="9" spans="1:2">
      <c r="A9" s="1" t="s">
        <v>11</v>
      </c>
      <c r="B9" s="7" t="s">
        <v>34</v>
      </c>
    </row>
    <row r="10" spans="1:2">
      <c r="A10" s="1" t="s">
        <v>12</v>
      </c>
      <c r="B10" s="7" t="s">
        <v>29</v>
      </c>
    </row>
    <row r="11" spans="1:2">
      <c r="A11" s="1" t="s">
        <v>13</v>
      </c>
      <c r="B11" s="1"/>
    </row>
    <row r="12" spans="1:2">
      <c r="A12" s="1" t="s">
        <v>14</v>
      </c>
      <c r="B12" s="3"/>
    </row>
    <row r="13" spans="1:2">
      <c r="A13" s="1" t="s">
        <v>15</v>
      </c>
      <c r="B13" s="1"/>
    </row>
    <row r="14" spans="1:2">
      <c r="A14" s="1" t="s">
        <v>16</v>
      </c>
      <c r="B14" s="1"/>
    </row>
    <row r="19" spans="2:2">
      <c r="B19" s="4"/>
    </row>
    <row r="21" spans="2:2">
      <c r="B21" s="5"/>
    </row>
    <row r="24" spans="2:2">
      <c r="B24" s="6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7"/>
  <sheetViews>
    <sheetView workbookViewId="0"/>
  </sheetViews>
  <sheetFormatPr defaultColWidth="8.75" defaultRowHeight="14"/>
  <cols>
    <col min="1" max="1" width="19.25" style="8" customWidth="1"/>
    <col min="2" max="19" width="10.58203125" style="8" customWidth="1"/>
    <col min="20" max="16384" width="8.75" style="8"/>
  </cols>
  <sheetData>
    <row r="1" spans="1:19">
      <c r="A1" s="8" t="s">
        <v>17</v>
      </c>
      <c r="B1" s="12" t="s">
        <v>32</v>
      </c>
      <c r="C1" s="12"/>
      <c r="D1" s="12" t="s">
        <v>13</v>
      </c>
      <c r="E1" s="12" t="s">
        <v>13</v>
      </c>
      <c r="F1" s="12" t="s">
        <v>13</v>
      </c>
      <c r="G1" s="12" t="s">
        <v>13</v>
      </c>
      <c r="H1" s="12" t="s">
        <v>33</v>
      </c>
      <c r="I1" s="12"/>
      <c r="J1" s="12" t="s">
        <v>13</v>
      </c>
      <c r="K1" s="12" t="s">
        <v>13</v>
      </c>
      <c r="L1" s="12" t="s">
        <v>13</v>
      </c>
      <c r="M1" s="12" t="s">
        <v>13</v>
      </c>
      <c r="N1" s="12" t="s">
        <v>32</v>
      </c>
      <c r="O1" s="12"/>
      <c r="P1" s="12" t="s">
        <v>13</v>
      </c>
      <c r="Q1" s="12" t="s">
        <v>13</v>
      </c>
      <c r="R1" s="12" t="s">
        <v>13</v>
      </c>
      <c r="S1" s="12" t="s">
        <v>13</v>
      </c>
    </row>
    <row r="2" spans="1:19">
      <c r="A2" s="8" t="s">
        <v>18</v>
      </c>
      <c r="B2" s="12" t="s">
        <v>19</v>
      </c>
      <c r="C2" s="12"/>
      <c r="D2" s="12" t="s">
        <v>13</v>
      </c>
      <c r="E2" s="12" t="s">
        <v>13</v>
      </c>
      <c r="F2" s="12" t="s">
        <v>13</v>
      </c>
      <c r="G2" s="12" t="s">
        <v>13</v>
      </c>
      <c r="H2" s="12" t="s">
        <v>20</v>
      </c>
      <c r="I2" s="12"/>
      <c r="J2" s="12" t="s">
        <v>13</v>
      </c>
      <c r="K2" s="12" t="s">
        <v>13</v>
      </c>
      <c r="L2" s="12" t="s">
        <v>13</v>
      </c>
      <c r="M2" s="12" t="s">
        <v>13</v>
      </c>
      <c r="N2" s="12" t="s">
        <v>21</v>
      </c>
      <c r="O2" s="12"/>
      <c r="P2" s="12" t="s">
        <v>13</v>
      </c>
      <c r="Q2" s="12" t="s">
        <v>13</v>
      </c>
      <c r="R2" s="12" t="s">
        <v>13</v>
      </c>
      <c r="S2" s="12" t="s">
        <v>13</v>
      </c>
    </row>
    <row r="3" spans="1:19">
      <c r="A3" s="9" t="s">
        <v>9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0" t="s">
        <v>27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</row>
    <row r="4" spans="1:19">
      <c r="A4" s="11">
        <v>46050.270831828704</v>
      </c>
      <c r="B4" s="8">
        <v>0</v>
      </c>
      <c r="C4" s="8">
        <v>164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2</v>
      </c>
      <c r="O4" s="8">
        <v>161</v>
      </c>
      <c r="P4" s="8">
        <v>0</v>
      </c>
      <c r="Q4" s="8">
        <v>0</v>
      </c>
      <c r="R4" s="8">
        <v>0</v>
      </c>
      <c r="S4" s="8">
        <v>0</v>
      </c>
    </row>
    <row r="5" spans="1:19">
      <c r="A5" s="11">
        <v>46050.281248437503</v>
      </c>
      <c r="B5" s="8">
        <v>0</v>
      </c>
      <c r="C5" s="8">
        <v>148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139</v>
      </c>
      <c r="P5" s="8">
        <v>0</v>
      </c>
      <c r="Q5" s="8">
        <v>0</v>
      </c>
      <c r="R5" s="8">
        <v>0</v>
      </c>
      <c r="S5" s="8">
        <v>0</v>
      </c>
    </row>
    <row r="6" spans="1:19">
      <c r="A6" s="11">
        <v>46050.291665046294</v>
      </c>
      <c r="B6" s="8">
        <v>0</v>
      </c>
      <c r="C6" s="8">
        <v>171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128</v>
      </c>
      <c r="P6" s="8">
        <v>0</v>
      </c>
      <c r="Q6" s="8">
        <v>0</v>
      </c>
      <c r="R6" s="8">
        <v>0</v>
      </c>
      <c r="S6" s="8">
        <v>0</v>
      </c>
    </row>
    <row r="7" spans="1:19">
      <c r="A7" s="11">
        <v>46050.302081655092</v>
      </c>
      <c r="B7" s="8">
        <v>0</v>
      </c>
      <c r="C7" s="8">
        <v>205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1</v>
      </c>
      <c r="O7" s="8">
        <v>148</v>
      </c>
      <c r="P7" s="8">
        <v>0</v>
      </c>
      <c r="Q7" s="8">
        <v>0</v>
      </c>
      <c r="R7" s="8">
        <v>0</v>
      </c>
      <c r="S7" s="8">
        <v>0</v>
      </c>
    </row>
    <row r="8" spans="1:19">
      <c r="A8" s="11">
        <v>46050.312498263891</v>
      </c>
      <c r="B8" s="8">
        <v>0</v>
      </c>
      <c r="C8" s="8">
        <v>203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2</v>
      </c>
      <c r="O8" s="8">
        <v>146</v>
      </c>
      <c r="P8" s="8">
        <v>0</v>
      </c>
      <c r="Q8" s="8">
        <v>0</v>
      </c>
      <c r="R8" s="8">
        <v>0</v>
      </c>
      <c r="S8" s="8">
        <v>0</v>
      </c>
    </row>
    <row r="9" spans="1:19">
      <c r="A9" s="11">
        <v>46050.322914872682</v>
      </c>
      <c r="B9" s="8">
        <v>0</v>
      </c>
      <c r="C9" s="8">
        <v>196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181</v>
      </c>
      <c r="P9" s="8">
        <v>0</v>
      </c>
      <c r="Q9" s="8">
        <v>0</v>
      </c>
      <c r="R9" s="8">
        <v>0</v>
      </c>
      <c r="S9" s="8">
        <v>0</v>
      </c>
    </row>
    <row r="10" spans="1:19">
      <c r="A10" s="11">
        <v>46050.333331481481</v>
      </c>
      <c r="B10" s="8">
        <v>0</v>
      </c>
      <c r="C10" s="8">
        <v>179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166</v>
      </c>
      <c r="P10" s="8">
        <v>0</v>
      </c>
      <c r="Q10" s="8">
        <v>0</v>
      </c>
      <c r="R10" s="8">
        <v>0</v>
      </c>
      <c r="S10" s="8">
        <v>0</v>
      </c>
    </row>
    <row r="11" spans="1:19">
      <c r="A11" s="11">
        <v>46050.343748090279</v>
      </c>
      <c r="B11" s="8">
        <v>0</v>
      </c>
      <c r="C11" s="8">
        <v>175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204</v>
      </c>
      <c r="P11" s="8">
        <v>0</v>
      </c>
      <c r="Q11" s="8">
        <v>0</v>
      </c>
      <c r="R11" s="8">
        <v>0</v>
      </c>
      <c r="S11" s="8">
        <v>0</v>
      </c>
    </row>
    <row r="12" spans="1:19">
      <c r="A12" s="11">
        <v>46050.354164699071</v>
      </c>
      <c r="B12" s="8">
        <v>0</v>
      </c>
      <c r="C12" s="8">
        <v>169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</v>
      </c>
      <c r="O12" s="8">
        <v>153</v>
      </c>
      <c r="P12" s="8">
        <v>0</v>
      </c>
      <c r="Q12" s="8">
        <v>0</v>
      </c>
      <c r="R12" s="8">
        <v>0</v>
      </c>
      <c r="S12" s="8">
        <v>0</v>
      </c>
    </row>
    <row r="13" spans="1:19">
      <c r="A13" s="11">
        <v>46050.364581307869</v>
      </c>
      <c r="B13" s="8">
        <v>0</v>
      </c>
      <c r="C13" s="8">
        <v>168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164</v>
      </c>
      <c r="P13" s="8">
        <v>0</v>
      </c>
      <c r="Q13" s="8">
        <v>0</v>
      </c>
      <c r="R13" s="8">
        <v>0</v>
      </c>
      <c r="S13" s="8">
        <v>0</v>
      </c>
    </row>
    <row r="14" spans="1:19">
      <c r="A14" s="11">
        <v>46050.374997916668</v>
      </c>
      <c r="B14" s="8">
        <v>0</v>
      </c>
      <c r="C14" s="8">
        <v>166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2</v>
      </c>
      <c r="O14" s="8">
        <v>165</v>
      </c>
      <c r="P14" s="8">
        <v>0</v>
      </c>
      <c r="Q14" s="8">
        <v>0</v>
      </c>
      <c r="R14" s="8">
        <v>0</v>
      </c>
      <c r="S14" s="8">
        <v>0</v>
      </c>
    </row>
    <row r="15" spans="1:19">
      <c r="A15" s="11">
        <v>46050.385414525466</v>
      </c>
      <c r="B15" s="8">
        <v>0</v>
      </c>
      <c r="C15" s="8">
        <v>170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1</v>
      </c>
      <c r="O15" s="8">
        <v>161</v>
      </c>
      <c r="P15" s="8">
        <v>0</v>
      </c>
      <c r="Q15" s="8">
        <v>0</v>
      </c>
      <c r="R15" s="8">
        <v>0</v>
      </c>
      <c r="S15" s="8">
        <v>0</v>
      </c>
    </row>
    <row r="16" spans="1:19">
      <c r="A16" s="11">
        <v>46050.395831134258</v>
      </c>
      <c r="B16" s="8">
        <v>0</v>
      </c>
      <c r="C16" s="8">
        <v>172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2</v>
      </c>
      <c r="O16" s="8">
        <v>158</v>
      </c>
      <c r="P16" s="8">
        <v>0</v>
      </c>
      <c r="Q16" s="8">
        <v>0</v>
      </c>
      <c r="R16" s="8">
        <v>0</v>
      </c>
      <c r="S16" s="8">
        <v>0</v>
      </c>
    </row>
    <row r="17" spans="1:19">
      <c r="A17" s="11">
        <v>46050.406247743056</v>
      </c>
      <c r="B17" s="8">
        <v>0</v>
      </c>
      <c r="C17" s="8">
        <v>171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177</v>
      </c>
      <c r="P17" s="8">
        <v>0</v>
      </c>
      <c r="Q17" s="8">
        <v>0</v>
      </c>
      <c r="R17" s="8">
        <v>0</v>
      </c>
      <c r="S17" s="8">
        <v>0</v>
      </c>
    </row>
    <row r="18" spans="1:19">
      <c r="A18" s="11">
        <v>46050.416664351855</v>
      </c>
      <c r="B18" s="8">
        <v>0</v>
      </c>
      <c r="C18" s="8">
        <v>184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154</v>
      </c>
      <c r="P18" s="8">
        <v>0</v>
      </c>
      <c r="Q18" s="8">
        <v>0</v>
      </c>
      <c r="R18" s="8">
        <v>0</v>
      </c>
      <c r="S18" s="8">
        <v>0</v>
      </c>
    </row>
    <row r="19" spans="1:19">
      <c r="A19" s="11">
        <v>46050.427080960646</v>
      </c>
      <c r="B19" s="8">
        <v>0</v>
      </c>
      <c r="C19" s="8">
        <v>155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</v>
      </c>
      <c r="O19" s="8">
        <v>180</v>
      </c>
      <c r="P19" s="8">
        <v>0</v>
      </c>
      <c r="Q19" s="8">
        <v>0</v>
      </c>
      <c r="R19" s="8">
        <v>0</v>
      </c>
      <c r="S19" s="8">
        <v>0</v>
      </c>
    </row>
    <row r="20" spans="1:19">
      <c r="A20" s="11">
        <v>46050.604163310185</v>
      </c>
      <c r="B20" s="8">
        <v>0</v>
      </c>
      <c r="C20" s="8">
        <v>190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4</v>
      </c>
      <c r="O20" s="8">
        <v>232</v>
      </c>
      <c r="P20" s="8">
        <v>0</v>
      </c>
      <c r="Q20" s="8">
        <v>0</v>
      </c>
      <c r="R20" s="8">
        <v>0</v>
      </c>
      <c r="S20" s="8">
        <v>0</v>
      </c>
    </row>
    <row r="21" spans="1:19">
      <c r="A21" s="11">
        <v>46050.614579918984</v>
      </c>
      <c r="B21" s="8">
        <v>0</v>
      </c>
      <c r="C21" s="8">
        <v>207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4</v>
      </c>
      <c r="O21" s="8">
        <v>208</v>
      </c>
      <c r="P21" s="8">
        <v>0</v>
      </c>
      <c r="Q21" s="8">
        <v>0</v>
      </c>
      <c r="R21" s="8">
        <v>0</v>
      </c>
      <c r="S21" s="8">
        <v>0</v>
      </c>
    </row>
    <row r="22" spans="1:19">
      <c r="A22" s="11">
        <v>46050.624996527775</v>
      </c>
      <c r="B22" s="8">
        <v>0</v>
      </c>
      <c r="C22" s="8">
        <v>221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8">
        <v>197</v>
      </c>
      <c r="P22" s="8">
        <v>0</v>
      </c>
      <c r="Q22" s="8">
        <v>0</v>
      </c>
      <c r="R22" s="8">
        <v>0</v>
      </c>
      <c r="S22" s="8">
        <v>0</v>
      </c>
    </row>
    <row r="23" spans="1:19">
      <c r="A23" s="11">
        <v>46050.635413136573</v>
      </c>
      <c r="B23" s="8">
        <v>0</v>
      </c>
      <c r="C23" s="8">
        <v>189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4</v>
      </c>
      <c r="O23" s="8">
        <v>201</v>
      </c>
      <c r="P23" s="8">
        <v>0</v>
      </c>
      <c r="Q23" s="8">
        <v>0</v>
      </c>
      <c r="R23" s="8">
        <v>0</v>
      </c>
      <c r="S23" s="8">
        <v>0</v>
      </c>
    </row>
    <row r="24" spans="1:19">
      <c r="A24" s="11">
        <v>46050.645829745372</v>
      </c>
      <c r="B24" s="8">
        <v>0</v>
      </c>
      <c r="C24" s="8">
        <v>225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</v>
      </c>
      <c r="O24" s="8">
        <v>212</v>
      </c>
      <c r="P24" s="8">
        <v>0</v>
      </c>
      <c r="Q24" s="8">
        <v>0</v>
      </c>
      <c r="R24" s="8">
        <v>0</v>
      </c>
      <c r="S24" s="8">
        <v>0</v>
      </c>
    </row>
    <row r="25" spans="1:19">
      <c r="A25" s="11">
        <v>46050.656246354163</v>
      </c>
      <c r="B25" s="8">
        <v>0</v>
      </c>
      <c r="C25" s="8">
        <v>237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238</v>
      </c>
      <c r="P25" s="8">
        <v>0</v>
      </c>
      <c r="Q25" s="8">
        <v>0</v>
      </c>
      <c r="R25" s="8">
        <v>0</v>
      </c>
      <c r="S25" s="8">
        <v>0</v>
      </c>
    </row>
    <row r="26" spans="1:19">
      <c r="A26" s="11">
        <v>46050.666662962962</v>
      </c>
      <c r="B26" s="8">
        <v>0</v>
      </c>
      <c r="C26" s="8">
        <v>241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3</v>
      </c>
      <c r="O26" s="8">
        <v>229</v>
      </c>
      <c r="P26" s="8">
        <v>0</v>
      </c>
      <c r="Q26" s="8">
        <v>0</v>
      </c>
      <c r="R26" s="8">
        <v>0</v>
      </c>
      <c r="S26" s="8">
        <v>0</v>
      </c>
    </row>
    <row r="27" spans="1:19">
      <c r="A27" s="11">
        <v>46050.67707957176</v>
      </c>
      <c r="B27" s="8">
        <v>0</v>
      </c>
      <c r="C27" s="8">
        <v>207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2</v>
      </c>
      <c r="O27" s="8">
        <v>230</v>
      </c>
      <c r="P27" s="8">
        <v>0</v>
      </c>
      <c r="Q27" s="8">
        <v>0</v>
      </c>
      <c r="R27" s="8">
        <v>0</v>
      </c>
      <c r="S27" s="8">
        <v>0</v>
      </c>
    </row>
    <row r="28" spans="1:19">
      <c r="A28" s="11">
        <v>46050.687496180559</v>
      </c>
      <c r="B28" s="8">
        <v>0</v>
      </c>
      <c r="C28" s="8">
        <v>248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2</v>
      </c>
      <c r="O28" s="8">
        <v>235</v>
      </c>
      <c r="P28" s="8">
        <v>0</v>
      </c>
      <c r="Q28" s="8">
        <v>0</v>
      </c>
      <c r="R28" s="8">
        <v>0</v>
      </c>
      <c r="S28" s="8">
        <v>0</v>
      </c>
    </row>
    <row r="29" spans="1:19">
      <c r="A29" s="11">
        <v>46050.69791278935</v>
      </c>
      <c r="B29" s="8">
        <v>0</v>
      </c>
      <c r="C29" s="8">
        <v>192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293</v>
      </c>
      <c r="P29" s="8">
        <v>0</v>
      </c>
      <c r="Q29" s="8">
        <v>0</v>
      </c>
      <c r="R29" s="8">
        <v>0</v>
      </c>
      <c r="S29" s="8">
        <v>0</v>
      </c>
    </row>
    <row r="30" spans="1:19">
      <c r="A30" s="11">
        <v>46050.708329398149</v>
      </c>
      <c r="B30" s="8">
        <v>0</v>
      </c>
      <c r="C30" s="8">
        <v>227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2</v>
      </c>
      <c r="O30" s="8">
        <v>265</v>
      </c>
      <c r="P30" s="8">
        <v>0</v>
      </c>
      <c r="Q30" s="8">
        <v>0</v>
      </c>
      <c r="R30" s="8">
        <v>0</v>
      </c>
      <c r="S30" s="8">
        <v>0</v>
      </c>
    </row>
    <row r="31" spans="1:19">
      <c r="A31" s="11">
        <v>46050.718746006947</v>
      </c>
      <c r="B31" s="8">
        <v>0</v>
      </c>
      <c r="C31" s="8">
        <v>220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1</v>
      </c>
      <c r="O31" s="8">
        <v>252</v>
      </c>
      <c r="P31" s="8">
        <v>0</v>
      </c>
      <c r="Q31" s="8">
        <v>0</v>
      </c>
      <c r="R31" s="8">
        <v>0</v>
      </c>
      <c r="S31" s="8">
        <v>0</v>
      </c>
    </row>
    <row r="32" spans="1:19">
      <c r="A32" s="11">
        <v>46050.729162615738</v>
      </c>
      <c r="B32" s="8">
        <v>0</v>
      </c>
      <c r="C32" s="8">
        <v>201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255</v>
      </c>
      <c r="P32" s="8">
        <v>0</v>
      </c>
      <c r="Q32" s="8">
        <v>0</v>
      </c>
      <c r="R32" s="8">
        <v>0</v>
      </c>
      <c r="S32" s="8">
        <v>0</v>
      </c>
    </row>
    <row r="33" spans="1:19">
      <c r="A33" s="11">
        <v>46050.739579224537</v>
      </c>
      <c r="B33" s="8">
        <v>0</v>
      </c>
      <c r="C33" s="8">
        <v>203</v>
      </c>
      <c r="D33" s="8">
        <v>0</v>
      </c>
      <c r="E33" s="8">
        <v>0</v>
      </c>
      <c r="F33" s="8">
        <v>0</v>
      </c>
      <c r="G33" s="8">
        <v>0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244</v>
      </c>
      <c r="P33" s="8">
        <v>0</v>
      </c>
      <c r="Q33" s="8">
        <v>0</v>
      </c>
      <c r="R33" s="8">
        <v>0</v>
      </c>
      <c r="S33" s="8">
        <v>0</v>
      </c>
    </row>
    <row r="34" spans="1:19">
      <c r="A34" s="11">
        <v>46050.749995833336</v>
      </c>
      <c r="B34" s="8">
        <v>0</v>
      </c>
      <c r="C34" s="8">
        <v>175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1</v>
      </c>
      <c r="O34" s="8">
        <v>214</v>
      </c>
      <c r="P34" s="8">
        <v>0</v>
      </c>
      <c r="Q34" s="8">
        <v>0</v>
      </c>
      <c r="R34" s="8">
        <v>0</v>
      </c>
      <c r="S34" s="8">
        <v>0</v>
      </c>
    </row>
    <row r="35" spans="1:19">
      <c r="A35" s="11">
        <v>46050.760412442127</v>
      </c>
      <c r="B35" s="8">
        <v>0</v>
      </c>
      <c r="C35" s="8">
        <v>182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</v>
      </c>
      <c r="O35" s="8">
        <v>152</v>
      </c>
      <c r="P35" s="8">
        <v>0</v>
      </c>
      <c r="Q35" s="8">
        <v>0</v>
      </c>
      <c r="R35" s="8">
        <v>0</v>
      </c>
      <c r="S35" s="8">
        <v>0</v>
      </c>
    </row>
    <row r="36" spans="1:19">
      <c r="A36" s="11"/>
    </row>
    <row r="37" spans="1:19">
      <c r="A37" s="11"/>
    </row>
    <row r="38" spans="1:19">
      <c r="A38" s="11"/>
    </row>
    <row r="39" spans="1:19">
      <c r="A39" s="11"/>
    </row>
    <row r="40" spans="1:19">
      <c r="A40" s="11"/>
    </row>
    <row r="41" spans="1:19">
      <c r="A41" s="11"/>
    </row>
    <row r="42" spans="1:19">
      <c r="A42" s="11"/>
    </row>
    <row r="43" spans="1:19">
      <c r="A43" s="11"/>
    </row>
    <row r="44" spans="1:19">
      <c r="A44" s="11"/>
    </row>
    <row r="45" spans="1:19">
      <c r="A45" s="11"/>
    </row>
    <row r="46" spans="1:19">
      <c r="A46" s="11"/>
    </row>
    <row r="47" spans="1:19">
      <c r="A47" s="11"/>
    </row>
    <row r="48" spans="1:19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</sheetData>
  <mergeCells count="6">
    <mergeCell ref="B1:G1"/>
    <mergeCell ref="H1:M1"/>
    <mergeCell ref="N1:S1"/>
    <mergeCell ref="B2:G2"/>
    <mergeCell ref="H2:M2"/>
    <mergeCell ref="N2:S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7"/>
  <sheetViews>
    <sheetView workbookViewId="0"/>
  </sheetViews>
  <sheetFormatPr defaultColWidth="8.75" defaultRowHeight="14"/>
  <cols>
    <col min="1" max="1" width="19" style="8" customWidth="1"/>
    <col min="2" max="19" width="10.58203125" style="8" customWidth="1"/>
    <col min="20" max="16384" width="8.75" style="8"/>
  </cols>
  <sheetData>
    <row r="1" spans="1:19">
      <c r="A1" s="8" t="str">
        <f>'Lights and Motorcycles'!A1</f>
        <v>Leg</v>
      </c>
      <c r="B1" s="12" t="str">
        <f>'Lights and Motorcycles'!B1</f>
        <v>US 301</v>
      </c>
      <c r="C1" s="12"/>
      <c r="D1" s="12"/>
      <c r="E1" s="12"/>
      <c r="F1" s="12"/>
      <c r="G1" s="12"/>
      <c r="H1" s="12" t="str">
        <f>'Lights and Motorcycles'!H1</f>
        <v>SE 53RD ST</v>
      </c>
      <c r="I1" s="12"/>
      <c r="J1" s="12"/>
      <c r="K1" s="12"/>
      <c r="L1" s="12"/>
      <c r="M1" s="12"/>
      <c r="N1" s="12" t="str">
        <f>'Lights and Motorcycles'!N1</f>
        <v>US 301</v>
      </c>
      <c r="O1" s="12"/>
      <c r="P1" s="12"/>
      <c r="Q1" s="12"/>
      <c r="R1" s="12"/>
      <c r="S1" s="12"/>
    </row>
    <row r="2" spans="1:19">
      <c r="A2" s="8" t="str">
        <f>'Lights and Motorcycles'!A2</f>
        <v>Direction</v>
      </c>
      <c r="B2" s="12" t="str">
        <f>'Lights and Motorcycles'!B2</f>
        <v>Southbound</v>
      </c>
      <c r="C2" s="12"/>
      <c r="D2" s="12"/>
      <c r="E2" s="12"/>
      <c r="F2" s="12"/>
      <c r="G2" s="12"/>
      <c r="H2" s="12" t="str">
        <f>'Lights and Motorcycles'!H2</f>
        <v>Westbound</v>
      </c>
      <c r="I2" s="12"/>
      <c r="J2" s="12"/>
      <c r="K2" s="12"/>
      <c r="L2" s="12"/>
      <c r="M2" s="12"/>
      <c r="N2" s="12" t="str">
        <f>'Lights and Motorcycles'!N2</f>
        <v>Northbound</v>
      </c>
      <c r="O2" s="12"/>
      <c r="P2" s="12"/>
      <c r="Q2" s="12"/>
      <c r="R2" s="12"/>
      <c r="S2" s="12"/>
    </row>
    <row r="3" spans="1:19">
      <c r="A3" s="9" t="str">
        <f>'Lights and Motorcycles'!A3</f>
        <v>Start Time</v>
      </c>
      <c r="B3" s="10" t="str">
        <f>'Lights and Motorcycles'!B3</f>
        <v>Right</v>
      </c>
      <c r="C3" s="10" t="str">
        <f>'Lights and Motorcycles'!C3</f>
        <v>Thru</v>
      </c>
      <c r="D3" s="10" t="str">
        <f>'Lights and Motorcycles'!D3</f>
        <v>Left</v>
      </c>
      <c r="E3" s="10" t="str">
        <f>'Lights and Motorcycles'!E3</f>
        <v>U-Turn</v>
      </c>
      <c r="F3" s="10" t="str">
        <f>'Lights and Motorcycles'!F3</f>
        <v>Peds CW</v>
      </c>
      <c r="G3" s="10" t="str">
        <f>'Lights and Motorcycles'!G3</f>
        <v>Peds CCW</v>
      </c>
      <c r="H3" s="10" t="str">
        <f>'Lights and Motorcycles'!H3</f>
        <v>Right</v>
      </c>
      <c r="I3" s="10" t="str">
        <f>'Lights and Motorcycles'!I3</f>
        <v>Thru</v>
      </c>
      <c r="J3" s="10" t="str">
        <f>'Lights and Motorcycles'!J3</f>
        <v>Left</v>
      </c>
      <c r="K3" s="10" t="str">
        <f>'Lights and Motorcycles'!K3</f>
        <v>U-Turn</v>
      </c>
      <c r="L3" s="10" t="str">
        <f>'Lights and Motorcycles'!L3</f>
        <v>Peds CW</v>
      </c>
      <c r="M3" s="10" t="str">
        <f>'Lights and Motorcycles'!M3</f>
        <v>Peds CCW</v>
      </c>
      <c r="N3" s="10" t="str">
        <f>'Lights and Motorcycles'!N3</f>
        <v>Right</v>
      </c>
      <c r="O3" s="10" t="str">
        <f>'Lights and Motorcycles'!O3</f>
        <v>Thru</v>
      </c>
      <c r="P3" s="10" t="str">
        <f>'Lights and Motorcycles'!P3</f>
        <v>Left</v>
      </c>
      <c r="Q3" s="10" t="str">
        <f>'Lights and Motorcycles'!Q3</f>
        <v>U-Turn</v>
      </c>
      <c r="R3" s="10" t="str">
        <f>'Lights and Motorcycles'!R3</f>
        <v>Peds CW</v>
      </c>
      <c r="S3" s="10" t="str">
        <f>'Lights and Motorcycles'!S3</f>
        <v>Peds CCW</v>
      </c>
    </row>
    <row r="4" spans="1:19">
      <c r="A4" s="11">
        <f>'Lights and Motorcycles'!A4</f>
        <v>46050.270831828704</v>
      </c>
      <c r="B4" s="8">
        <v>0</v>
      </c>
      <c r="C4" s="8">
        <v>51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48</v>
      </c>
      <c r="P4" s="8">
        <v>0</v>
      </c>
      <c r="Q4" s="8">
        <v>0</v>
      </c>
      <c r="R4" s="8">
        <v>0</v>
      </c>
      <c r="S4" s="8">
        <v>0</v>
      </c>
    </row>
    <row r="5" spans="1:19">
      <c r="A5" s="11">
        <f>'Lights and Motorcycles'!A5</f>
        <v>46050.281248437503</v>
      </c>
      <c r="B5" s="8">
        <v>0</v>
      </c>
      <c r="C5" s="8">
        <v>45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29</v>
      </c>
      <c r="P5" s="8">
        <v>0</v>
      </c>
      <c r="Q5" s="8">
        <v>0</v>
      </c>
      <c r="R5" s="8">
        <v>0</v>
      </c>
      <c r="S5" s="8">
        <v>0</v>
      </c>
    </row>
    <row r="6" spans="1:19">
      <c r="A6" s="11">
        <f>'Lights and Motorcycles'!A6</f>
        <v>46050.291665046294</v>
      </c>
      <c r="B6" s="8">
        <v>0</v>
      </c>
      <c r="C6" s="8">
        <v>33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45</v>
      </c>
      <c r="P6" s="8">
        <v>0</v>
      </c>
      <c r="Q6" s="8">
        <v>0</v>
      </c>
      <c r="R6" s="8">
        <v>0</v>
      </c>
      <c r="S6" s="8">
        <v>0</v>
      </c>
    </row>
    <row r="7" spans="1:19">
      <c r="A7" s="11">
        <f>'Lights and Motorcycles'!A7</f>
        <v>46050.302081655092</v>
      </c>
      <c r="B7" s="8">
        <v>0</v>
      </c>
      <c r="C7" s="8">
        <v>42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40</v>
      </c>
      <c r="P7" s="8">
        <v>0</v>
      </c>
      <c r="Q7" s="8">
        <v>0</v>
      </c>
      <c r="R7" s="8">
        <v>0</v>
      </c>
      <c r="S7" s="8">
        <v>0</v>
      </c>
    </row>
    <row r="8" spans="1:19">
      <c r="A8" s="11">
        <f>'Lights and Motorcycles'!A8</f>
        <v>46050.312498263891</v>
      </c>
      <c r="B8" s="8">
        <v>0</v>
      </c>
      <c r="C8" s="8">
        <v>50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29</v>
      </c>
      <c r="P8" s="8">
        <v>0</v>
      </c>
      <c r="Q8" s="8">
        <v>0</v>
      </c>
      <c r="R8" s="8">
        <v>0</v>
      </c>
      <c r="S8" s="8">
        <v>0</v>
      </c>
    </row>
    <row r="9" spans="1:19">
      <c r="A9" s="11">
        <f>'Lights and Motorcycles'!A9</f>
        <v>46050.322914872682</v>
      </c>
      <c r="B9" s="8">
        <v>0</v>
      </c>
      <c r="C9" s="8">
        <v>57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43</v>
      </c>
      <c r="P9" s="8">
        <v>0</v>
      </c>
      <c r="Q9" s="8">
        <v>0</v>
      </c>
      <c r="R9" s="8">
        <v>0</v>
      </c>
      <c r="S9" s="8">
        <v>0</v>
      </c>
    </row>
    <row r="10" spans="1:19">
      <c r="A10" s="11">
        <f>'Lights and Motorcycles'!A10</f>
        <v>46050.333331481481</v>
      </c>
      <c r="B10" s="8">
        <v>0</v>
      </c>
      <c r="C10" s="8">
        <v>53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48</v>
      </c>
      <c r="P10" s="8">
        <v>0</v>
      </c>
      <c r="Q10" s="8">
        <v>0</v>
      </c>
      <c r="R10" s="8">
        <v>0</v>
      </c>
      <c r="S10" s="8">
        <v>0</v>
      </c>
    </row>
    <row r="11" spans="1:19">
      <c r="A11" s="11">
        <f>'Lights and Motorcycles'!A11</f>
        <v>46050.343748090279</v>
      </c>
      <c r="B11" s="8">
        <v>0</v>
      </c>
      <c r="C11" s="8">
        <v>48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48</v>
      </c>
      <c r="P11" s="8">
        <v>0</v>
      </c>
      <c r="Q11" s="8">
        <v>0</v>
      </c>
      <c r="R11" s="8">
        <v>0</v>
      </c>
      <c r="S11" s="8">
        <v>0</v>
      </c>
    </row>
    <row r="12" spans="1:19">
      <c r="A12" s="11">
        <f>'Lights and Motorcycles'!A12</f>
        <v>46050.354164699071</v>
      </c>
      <c r="B12" s="8">
        <v>0</v>
      </c>
      <c r="C12" s="8">
        <v>41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</v>
      </c>
      <c r="O12" s="8">
        <v>26</v>
      </c>
      <c r="P12" s="8">
        <v>0</v>
      </c>
      <c r="Q12" s="8">
        <v>0</v>
      </c>
      <c r="R12" s="8">
        <v>0</v>
      </c>
      <c r="S12" s="8">
        <v>0</v>
      </c>
    </row>
    <row r="13" spans="1:19">
      <c r="A13" s="11">
        <f>'Lights and Motorcycles'!A13</f>
        <v>46050.364581307869</v>
      </c>
      <c r="B13" s="8">
        <v>0</v>
      </c>
      <c r="C13" s="8">
        <v>58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57</v>
      </c>
      <c r="P13" s="8">
        <v>0</v>
      </c>
      <c r="Q13" s="8">
        <v>0</v>
      </c>
      <c r="R13" s="8">
        <v>0</v>
      </c>
      <c r="S13" s="8">
        <v>0</v>
      </c>
    </row>
    <row r="14" spans="1:19">
      <c r="A14" s="11">
        <f>'Lights and Motorcycles'!A14</f>
        <v>46050.374997916668</v>
      </c>
      <c r="B14" s="8">
        <v>0</v>
      </c>
      <c r="C14" s="8">
        <v>40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39</v>
      </c>
      <c r="P14" s="8">
        <v>0</v>
      </c>
      <c r="Q14" s="8">
        <v>0</v>
      </c>
      <c r="R14" s="8">
        <v>0</v>
      </c>
      <c r="S14" s="8">
        <v>0</v>
      </c>
    </row>
    <row r="15" spans="1:19">
      <c r="A15" s="11">
        <f>'Lights and Motorcycles'!A15</f>
        <v>46050.385414525466</v>
      </c>
      <c r="B15" s="8">
        <v>0</v>
      </c>
      <c r="C15" s="8">
        <v>52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37</v>
      </c>
      <c r="P15" s="8">
        <v>0</v>
      </c>
      <c r="Q15" s="8">
        <v>0</v>
      </c>
      <c r="R15" s="8">
        <v>0</v>
      </c>
      <c r="S15" s="8">
        <v>0</v>
      </c>
    </row>
    <row r="16" spans="1:19">
      <c r="A16" s="11">
        <f>'Lights and Motorcycles'!A16</f>
        <v>46050.395831134258</v>
      </c>
      <c r="B16" s="8">
        <v>0</v>
      </c>
      <c r="C16" s="8">
        <v>50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37</v>
      </c>
      <c r="P16" s="8">
        <v>0</v>
      </c>
      <c r="Q16" s="8">
        <v>0</v>
      </c>
      <c r="R16" s="8">
        <v>0</v>
      </c>
      <c r="S16" s="8">
        <v>0</v>
      </c>
    </row>
    <row r="17" spans="1:19">
      <c r="A17" s="11">
        <f>'Lights and Motorcycles'!A17</f>
        <v>46050.406247743056</v>
      </c>
      <c r="B17" s="8">
        <v>0</v>
      </c>
      <c r="C17" s="8">
        <v>45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55</v>
      </c>
      <c r="P17" s="8">
        <v>0</v>
      </c>
      <c r="Q17" s="8">
        <v>0</v>
      </c>
      <c r="R17" s="8">
        <v>0</v>
      </c>
      <c r="S17" s="8">
        <v>0</v>
      </c>
    </row>
    <row r="18" spans="1:19">
      <c r="A18" s="11">
        <f>'Lights and Motorcycles'!A18</f>
        <v>46050.416664351855</v>
      </c>
      <c r="B18" s="8">
        <v>0</v>
      </c>
      <c r="C18" s="8">
        <v>48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31</v>
      </c>
      <c r="P18" s="8">
        <v>0</v>
      </c>
      <c r="Q18" s="8">
        <v>0</v>
      </c>
      <c r="R18" s="8">
        <v>0</v>
      </c>
      <c r="S18" s="8">
        <v>0</v>
      </c>
    </row>
    <row r="19" spans="1:19">
      <c r="A19" s="11">
        <f>'Lights and Motorcycles'!A19</f>
        <v>46050.427080960646</v>
      </c>
      <c r="B19" s="8">
        <v>0</v>
      </c>
      <c r="C19" s="8">
        <v>61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48</v>
      </c>
      <c r="P19" s="8">
        <v>0</v>
      </c>
      <c r="Q19" s="8">
        <v>0</v>
      </c>
      <c r="R19" s="8">
        <v>0</v>
      </c>
      <c r="S19" s="8">
        <v>0</v>
      </c>
    </row>
    <row r="20" spans="1:19">
      <c r="A20" s="11">
        <f>'Lights and Motorcycles'!A20</f>
        <v>46050.604163310185</v>
      </c>
      <c r="B20" s="8">
        <v>0</v>
      </c>
      <c r="C20" s="8">
        <v>60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75</v>
      </c>
      <c r="P20" s="8">
        <v>0</v>
      </c>
      <c r="Q20" s="8">
        <v>0</v>
      </c>
      <c r="R20" s="8">
        <v>0</v>
      </c>
      <c r="S20" s="8">
        <v>0</v>
      </c>
    </row>
    <row r="21" spans="1:19">
      <c r="A21" s="11">
        <f>'Lights and Motorcycles'!A21</f>
        <v>46050.614579918984</v>
      </c>
      <c r="B21" s="8">
        <v>0</v>
      </c>
      <c r="C21" s="8">
        <v>30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53</v>
      </c>
      <c r="P21" s="8">
        <v>0</v>
      </c>
      <c r="Q21" s="8">
        <v>0</v>
      </c>
      <c r="R21" s="8">
        <v>0</v>
      </c>
      <c r="S21" s="8">
        <v>0</v>
      </c>
    </row>
    <row r="22" spans="1:19">
      <c r="A22" s="11">
        <f>'Lights and Motorcycles'!A22</f>
        <v>46050.624996527775</v>
      </c>
      <c r="B22" s="8">
        <v>0</v>
      </c>
      <c r="C22" s="8">
        <v>32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53</v>
      </c>
      <c r="P22" s="8">
        <v>0</v>
      </c>
      <c r="Q22" s="8">
        <v>0</v>
      </c>
      <c r="R22" s="8">
        <v>0</v>
      </c>
      <c r="S22" s="8">
        <v>0</v>
      </c>
    </row>
    <row r="23" spans="1:19">
      <c r="A23" s="11">
        <f>'Lights and Motorcycles'!A23</f>
        <v>46050.635413136573</v>
      </c>
      <c r="B23" s="8">
        <v>0</v>
      </c>
      <c r="C23" s="8">
        <v>37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50</v>
      </c>
      <c r="P23" s="8">
        <v>0</v>
      </c>
      <c r="Q23" s="8">
        <v>0</v>
      </c>
      <c r="R23" s="8">
        <v>0</v>
      </c>
      <c r="S23" s="8">
        <v>0</v>
      </c>
    </row>
    <row r="24" spans="1:19">
      <c r="A24" s="11">
        <f>'Lights and Motorcycles'!A24</f>
        <v>46050.645829745372</v>
      </c>
      <c r="B24" s="8">
        <v>0</v>
      </c>
      <c r="C24" s="8">
        <v>30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42</v>
      </c>
      <c r="P24" s="8">
        <v>0</v>
      </c>
      <c r="Q24" s="8">
        <v>0</v>
      </c>
      <c r="R24" s="8">
        <v>0</v>
      </c>
      <c r="S24" s="8">
        <v>0</v>
      </c>
    </row>
    <row r="25" spans="1:19">
      <c r="A25" s="11">
        <f>'Lights and Motorcycles'!A25</f>
        <v>46050.656246354163</v>
      </c>
      <c r="B25" s="8">
        <v>0</v>
      </c>
      <c r="C25" s="8">
        <v>27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49</v>
      </c>
      <c r="P25" s="8">
        <v>0</v>
      </c>
      <c r="Q25" s="8">
        <v>0</v>
      </c>
      <c r="R25" s="8">
        <v>0</v>
      </c>
      <c r="S25" s="8">
        <v>0</v>
      </c>
    </row>
    <row r="26" spans="1:19">
      <c r="A26" s="11">
        <f>'Lights and Motorcycles'!A26</f>
        <v>46050.666662962962</v>
      </c>
      <c r="B26" s="8">
        <v>0</v>
      </c>
      <c r="C26" s="8">
        <v>35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46</v>
      </c>
      <c r="P26" s="8">
        <v>0</v>
      </c>
      <c r="Q26" s="8">
        <v>0</v>
      </c>
      <c r="R26" s="8">
        <v>0</v>
      </c>
      <c r="S26" s="8">
        <v>0</v>
      </c>
    </row>
    <row r="27" spans="1:19">
      <c r="A27" s="11">
        <f>'Lights and Motorcycles'!A27</f>
        <v>46050.67707957176</v>
      </c>
      <c r="B27" s="8">
        <v>0</v>
      </c>
      <c r="C27" s="8">
        <v>34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45</v>
      </c>
      <c r="P27" s="8">
        <v>0</v>
      </c>
      <c r="Q27" s="8">
        <v>0</v>
      </c>
      <c r="R27" s="8">
        <v>0</v>
      </c>
      <c r="S27" s="8">
        <v>0</v>
      </c>
    </row>
    <row r="28" spans="1:19">
      <c r="A28" s="11">
        <f>'Lights and Motorcycles'!A28</f>
        <v>46050.687496180559</v>
      </c>
      <c r="B28" s="8">
        <v>0</v>
      </c>
      <c r="C28" s="8">
        <v>34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44</v>
      </c>
      <c r="P28" s="8">
        <v>0</v>
      </c>
      <c r="Q28" s="8">
        <v>0</v>
      </c>
      <c r="R28" s="8">
        <v>0</v>
      </c>
      <c r="S28" s="8">
        <v>0</v>
      </c>
    </row>
    <row r="29" spans="1:19">
      <c r="A29" s="11">
        <f>'Lights and Motorcycles'!A29</f>
        <v>46050.69791278935</v>
      </c>
      <c r="B29" s="8">
        <v>0</v>
      </c>
      <c r="C29" s="8">
        <v>30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40</v>
      </c>
      <c r="P29" s="8">
        <v>0</v>
      </c>
      <c r="Q29" s="8">
        <v>0</v>
      </c>
      <c r="R29" s="8">
        <v>0</v>
      </c>
      <c r="S29" s="8">
        <v>0</v>
      </c>
    </row>
    <row r="30" spans="1:19">
      <c r="A30" s="11">
        <f>'Lights and Motorcycles'!A30</f>
        <v>46050.708329398149</v>
      </c>
      <c r="B30" s="8">
        <v>0</v>
      </c>
      <c r="C30" s="8">
        <v>24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42</v>
      </c>
      <c r="P30" s="8">
        <v>0</v>
      </c>
      <c r="Q30" s="8">
        <v>0</v>
      </c>
      <c r="R30" s="8">
        <v>0</v>
      </c>
      <c r="S30" s="8">
        <v>0</v>
      </c>
    </row>
    <row r="31" spans="1:19">
      <c r="A31" s="11">
        <f>'Lights and Motorcycles'!A31</f>
        <v>46050.718746006947</v>
      </c>
      <c r="B31" s="8">
        <v>0</v>
      </c>
      <c r="C31" s="8">
        <v>32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52</v>
      </c>
      <c r="P31" s="8">
        <v>0</v>
      </c>
      <c r="Q31" s="8">
        <v>0</v>
      </c>
      <c r="R31" s="8">
        <v>0</v>
      </c>
      <c r="S31" s="8">
        <v>0</v>
      </c>
    </row>
    <row r="32" spans="1:19">
      <c r="A32" s="11">
        <f>'Lights and Motorcycles'!A32</f>
        <v>46050.729162615738</v>
      </c>
      <c r="B32" s="8">
        <v>0</v>
      </c>
      <c r="C32" s="8">
        <v>28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36</v>
      </c>
      <c r="P32" s="8">
        <v>0</v>
      </c>
      <c r="Q32" s="8">
        <v>0</v>
      </c>
      <c r="R32" s="8">
        <v>0</v>
      </c>
      <c r="S32" s="8">
        <v>0</v>
      </c>
    </row>
    <row r="33" spans="1:19">
      <c r="A33" s="11">
        <f>'Lights and Motorcycles'!A33</f>
        <v>46050.739579224537</v>
      </c>
      <c r="B33" s="8">
        <v>0</v>
      </c>
      <c r="C33" s="8">
        <v>35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34</v>
      </c>
      <c r="P33" s="8">
        <v>0</v>
      </c>
      <c r="Q33" s="8">
        <v>0</v>
      </c>
      <c r="R33" s="8">
        <v>0</v>
      </c>
      <c r="S33" s="8">
        <v>0</v>
      </c>
    </row>
    <row r="34" spans="1:19">
      <c r="A34" s="11">
        <f>'Lights and Motorcycles'!A34</f>
        <v>46050.749995833336</v>
      </c>
      <c r="B34" s="8">
        <v>0</v>
      </c>
      <c r="C34" s="8">
        <v>38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38</v>
      </c>
      <c r="P34" s="8">
        <v>0</v>
      </c>
      <c r="Q34" s="8">
        <v>0</v>
      </c>
      <c r="R34" s="8">
        <v>0</v>
      </c>
      <c r="S34" s="8">
        <v>0</v>
      </c>
    </row>
    <row r="35" spans="1:19">
      <c r="A35" s="11">
        <f>'Lights and Motorcycles'!A35</f>
        <v>46050.760412442127</v>
      </c>
      <c r="B35" s="8">
        <v>0</v>
      </c>
      <c r="C35" s="8">
        <v>20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23</v>
      </c>
      <c r="P35" s="8">
        <v>0</v>
      </c>
      <c r="Q35" s="8">
        <v>0</v>
      </c>
      <c r="R35" s="8">
        <v>0</v>
      </c>
      <c r="S35" s="8">
        <v>0</v>
      </c>
    </row>
    <row r="36" spans="1:19">
      <c r="A36" s="11"/>
    </row>
    <row r="37" spans="1:19">
      <c r="A37" s="11"/>
    </row>
    <row r="38" spans="1:19">
      <c r="A38" s="11"/>
    </row>
    <row r="39" spans="1:19">
      <c r="A39" s="11"/>
    </row>
    <row r="40" spans="1:19">
      <c r="A40" s="11"/>
    </row>
    <row r="41" spans="1:19">
      <c r="A41" s="11"/>
    </row>
    <row r="42" spans="1:19">
      <c r="A42" s="11"/>
    </row>
    <row r="43" spans="1:19">
      <c r="A43" s="11"/>
    </row>
    <row r="44" spans="1:19">
      <c r="A44" s="11"/>
    </row>
    <row r="45" spans="1:19">
      <c r="A45" s="11"/>
    </row>
    <row r="46" spans="1:19">
      <c r="A46" s="11"/>
    </row>
    <row r="47" spans="1:19">
      <c r="A47" s="11"/>
    </row>
    <row r="48" spans="1:19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</sheetData>
  <mergeCells count="6">
    <mergeCell ref="B1:G1"/>
    <mergeCell ref="H1:M1"/>
    <mergeCell ref="N1:S1"/>
    <mergeCell ref="B2:G2"/>
    <mergeCell ref="H2:M2"/>
    <mergeCell ref="N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7"/>
  <sheetViews>
    <sheetView workbookViewId="0"/>
  </sheetViews>
  <sheetFormatPr defaultColWidth="8.75" defaultRowHeight="14"/>
  <cols>
    <col min="1" max="1" width="19.25" style="8" customWidth="1"/>
    <col min="2" max="19" width="10.58203125" style="8" customWidth="1"/>
    <col min="20" max="16384" width="8.75" style="8"/>
  </cols>
  <sheetData>
    <row r="1" spans="1:19">
      <c r="A1" s="8" t="str">
        <f>'Lights and Motorcycles'!A1</f>
        <v>Leg</v>
      </c>
      <c r="B1" s="12" t="str">
        <f>'Lights and Motorcycles'!B1</f>
        <v>US 301</v>
      </c>
      <c r="C1" s="12"/>
      <c r="D1" s="12"/>
      <c r="E1" s="12"/>
      <c r="F1" s="12"/>
      <c r="G1" s="12"/>
      <c r="H1" s="12" t="str">
        <f>'Lights and Motorcycles'!H1</f>
        <v>SE 53RD ST</v>
      </c>
      <c r="I1" s="12"/>
      <c r="J1" s="12"/>
      <c r="K1" s="12"/>
      <c r="L1" s="12"/>
      <c r="M1" s="12"/>
      <c r="N1" s="12" t="str">
        <f>'Lights and Motorcycles'!N1</f>
        <v>US 301</v>
      </c>
      <c r="O1" s="12"/>
      <c r="P1" s="12"/>
      <c r="Q1" s="12"/>
      <c r="R1" s="12"/>
      <c r="S1" s="12"/>
    </row>
    <row r="2" spans="1:19">
      <c r="A2" s="8" t="str">
        <f>'Lights and Motorcycles'!A2</f>
        <v>Direction</v>
      </c>
      <c r="B2" s="12" t="str">
        <f>'Lights and Motorcycles'!B2</f>
        <v>Southbound</v>
      </c>
      <c r="C2" s="12"/>
      <c r="D2" s="12"/>
      <c r="E2" s="12"/>
      <c r="F2" s="12"/>
      <c r="G2" s="12"/>
      <c r="H2" s="12" t="str">
        <f>'Lights and Motorcycles'!H2</f>
        <v>Westbound</v>
      </c>
      <c r="I2" s="12"/>
      <c r="J2" s="12"/>
      <c r="K2" s="12"/>
      <c r="L2" s="12"/>
      <c r="M2" s="12"/>
      <c r="N2" s="12" t="str">
        <f>'Lights and Motorcycles'!N2</f>
        <v>Northbound</v>
      </c>
      <c r="O2" s="12"/>
      <c r="P2" s="12"/>
      <c r="Q2" s="12"/>
      <c r="R2" s="12"/>
      <c r="S2" s="12"/>
    </row>
    <row r="3" spans="1:19">
      <c r="A3" s="9" t="str">
        <f>'Lights and Motorcycles'!A3</f>
        <v>Start Time</v>
      </c>
      <c r="B3" s="10" t="str">
        <f>'Lights and Motorcycles'!B3</f>
        <v>Right</v>
      </c>
      <c r="C3" s="10" t="str">
        <f>'Lights and Motorcycles'!C3</f>
        <v>Thru</v>
      </c>
      <c r="D3" s="10" t="str">
        <f>'Lights and Motorcycles'!D3</f>
        <v>Left</v>
      </c>
      <c r="E3" s="10" t="str">
        <f>'Lights and Motorcycles'!E3</f>
        <v>U-Turn</v>
      </c>
      <c r="F3" s="10" t="str">
        <f>'Lights and Motorcycles'!F3</f>
        <v>Peds CW</v>
      </c>
      <c r="G3" s="10" t="str">
        <f>'Lights and Motorcycles'!G3</f>
        <v>Peds CCW</v>
      </c>
      <c r="H3" s="10" t="str">
        <f>'Lights and Motorcycles'!H3</f>
        <v>Right</v>
      </c>
      <c r="I3" s="10" t="str">
        <f>'Lights and Motorcycles'!I3</f>
        <v>Thru</v>
      </c>
      <c r="J3" s="10" t="str">
        <f>'Lights and Motorcycles'!J3</f>
        <v>Left</v>
      </c>
      <c r="K3" s="10" t="str">
        <f>'Lights and Motorcycles'!K3</f>
        <v>U-Turn</v>
      </c>
      <c r="L3" s="10" t="str">
        <f>'Lights and Motorcycles'!L3</f>
        <v>Peds CW</v>
      </c>
      <c r="M3" s="10" t="str">
        <f>'Lights and Motorcycles'!M3</f>
        <v>Peds CCW</v>
      </c>
      <c r="N3" s="10" t="str">
        <f>'Lights and Motorcycles'!N3</f>
        <v>Right</v>
      </c>
      <c r="O3" s="10" t="str">
        <f>'Lights and Motorcycles'!O3</f>
        <v>Thru</v>
      </c>
      <c r="P3" s="10" t="str">
        <f>'Lights and Motorcycles'!P3</f>
        <v>Left</v>
      </c>
      <c r="Q3" s="10" t="str">
        <f>'Lights and Motorcycles'!Q3</f>
        <v>U-Turn</v>
      </c>
      <c r="R3" s="10" t="str">
        <f>'Lights and Motorcycles'!R3</f>
        <v>Peds CW</v>
      </c>
      <c r="S3" s="10" t="str">
        <f>'Lights and Motorcycles'!S3</f>
        <v>Peds CCW</v>
      </c>
    </row>
    <row r="4" spans="1:19">
      <c r="A4" s="11">
        <f>'Lights and Motorcycles'!A4</f>
        <v>46050.270831828704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</row>
    <row r="5" spans="1:19">
      <c r="A5" s="11">
        <f>'Lights and Motorcycles'!A5</f>
        <v>46050.281248437503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</row>
    <row r="6" spans="1:19">
      <c r="A6" s="11">
        <f>'Lights and Motorcycles'!A6</f>
        <v>46050.291665046294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</row>
    <row r="7" spans="1:19">
      <c r="A7" s="11">
        <f>'Lights and Motorcycles'!A7</f>
        <v>46050.302081655092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</row>
    <row r="8" spans="1:19">
      <c r="A8" s="11">
        <f>'Lights and Motorcycles'!A8</f>
        <v>46050.312498263891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</row>
    <row r="9" spans="1:19">
      <c r="A9" s="11">
        <f>'Lights and Motorcycles'!A9</f>
        <v>46050.322914872682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</row>
    <row r="10" spans="1:19">
      <c r="A10" s="11">
        <f>'Lights and Motorcycles'!A10</f>
        <v>46050.333331481481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</row>
    <row r="11" spans="1:19">
      <c r="A11" s="11">
        <f>'Lights and Motorcycles'!A11</f>
        <v>46050.343748090279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</row>
    <row r="12" spans="1:19">
      <c r="A12" s="11">
        <f>'Lights and Motorcycles'!A12</f>
        <v>46050.354164699071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</row>
    <row r="13" spans="1:19">
      <c r="A13" s="11">
        <f>'Lights and Motorcycles'!A13</f>
        <v>46050.364581307869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</row>
    <row r="14" spans="1:19">
      <c r="A14" s="11">
        <f>'Lights and Motorcycles'!A14</f>
        <v>46050.374997916668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</row>
    <row r="15" spans="1:19">
      <c r="A15" s="11">
        <f>'Lights and Motorcycles'!A15</f>
        <v>46050.385414525466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</row>
    <row r="16" spans="1:19">
      <c r="A16" s="11">
        <f>'Lights and Motorcycles'!A16</f>
        <v>46050.395831134258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</row>
    <row r="17" spans="1:19">
      <c r="A17" s="11">
        <f>'Lights and Motorcycles'!A17</f>
        <v>46050.406247743056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</row>
    <row r="18" spans="1:19">
      <c r="A18" s="11">
        <f>'Lights and Motorcycles'!A18</f>
        <v>46050.416664351855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</row>
    <row r="19" spans="1:19">
      <c r="A19" s="11">
        <f>'Lights and Motorcycles'!A19</f>
        <v>46050.427080960646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</row>
    <row r="20" spans="1:19">
      <c r="A20" s="11">
        <f>'Lights and Motorcycles'!A20</f>
        <v>46050.604163310185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</row>
    <row r="21" spans="1:19">
      <c r="A21" s="11">
        <f>'Lights and Motorcycles'!A21</f>
        <v>46050.614579918984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</row>
    <row r="22" spans="1:19">
      <c r="A22" s="11">
        <f>'Lights and Motorcycles'!A22</f>
        <v>46050.624996527775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</row>
    <row r="23" spans="1:19">
      <c r="A23" s="11">
        <f>'Lights and Motorcycles'!A23</f>
        <v>46050.635413136573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</row>
    <row r="24" spans="1:19">
      <c r="A24" s="11">
        <f>'Lights and Motorcycles'!A24</f>
        <v>46050.645829745372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</row>
    <row r="25" spans="1:19">
      <c r="A25" s="11">
        <f>'Lights and Motorcycles'!A25</f>
        <v>46050.656246354163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</row>
    <row r="26" spans="1:19">
      <c r="A26" s="11">
        <f>'Lights and Motorcycles'!A26</f>
        <v>46050.666662962962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</row>
    <row r="27" spans="1:19">
      <c r="A27" s="11">
        <f>'Lights and Motorcycles'!A27</f>
        <v>46050.67707957176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</row>
    <row r="28" spans="1:19">
      <c r="A28" s="11">
        <f>'Lights and Motorcycles'!A28</f>
        <v>46050.687496180559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</row>
    <row r="29" spans="1:19">
      <c r="A29" s="11">
        <f>'Lights and Motorcycles'!A29</f>
        <v>46050.69791278935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</row>
    <row r="30" spans="1:19">
      <c r="A30" s="11">
        <f>'Lights and Motorcycles'!A30</f>
        <v>46050.708329398149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</row>
    <row r="31" spans="1:19">
      <c r="A31" s="11">
        <f>'Lights and Motorcycles'!A31</f>
        <v>46050.718746006947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</row>
    <row r="32" spans="1:19">
      <c r="A32" s="11">
        <f>'Lights and Motorcycles'!A32</f>
        <v>46050.729162615738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</row>
    <row r="33" spans="1:19">
      <c r="A33" s="11">
        <f>'Lights and Motorcycles'!A33</f>
        <v>46050.739579224537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</row>
    <row r="34" spans="1:19">
      <c r="A34" s="11">
        <f>'Lights and Motorcycles'!A34</f>
        <v>46050.749995833336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</row>
    <row r="35" spans="1:19">
      <c r="A35" s="11">
        <f>'Lights and Motorcycles'!A35</f>
        <v>46050.760412442127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</row>
    <row r="36" spans="1:19">
      <c r="A36" s="11"/>
    </row>
    <row r="37" spans="1:19">
      <c r="A37" s="11"/>
    </row>
    <row r="38" spans="1:19">
      <c r="A38" s="11"/>
    </row>
    <row r="39" spans="1:19">
      <c r="A39" s="11"/>
    </row>
    <row r="40" spans="1:19">
      <c r="A40" s="11"/>
    </row>
    <row r="41" spans="1:19">
      <c r="A41" s="11"/>
    </row>
    <row r="42" spans="1:19">
      <c r="A42" s="11"/>
    </row>
    <row r="43" spans="1:19">
      <c r="A43" s="11"/>
    </row>
    <row r="44" spans="1:19">
      <c r="A44" s="11"/>
    </row>
    <row r="45" spans="1:19">
      <c r="A45" s="11"/>
    </row>
    <row r="46" spans="1:19">
      <c r="A46" s="11"/>
    </row>
    <row r="47" spans="1:19">
      <c r="A47" s="11"/>
    </row>
    <row r="48" spans="1:19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</sheetData>
  <mergeCells count="6">
    <mergeCell ref="B1:G1"/>
    <mergeCell ref="H1:M1"/>
    <mergeCell ref="N1:S1"/>
    <mergeCell ref="B2:G2"/>
    <mergeCell ref="H2:M2"/>
    <mergeCell ref="N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7"/>
  <sheetViews>
    <sheetView workbookViewId="0"/>
  </sheetViews>
  <sheetFormatPr defaultColWidth="8.75" defaultRowHeight="14"/>
  <cols>
    <col min="1" max="1" width="19.25" style="8" customWidth="1"/>
    <col min="2" max="19" width="10.58203125" style="8" customWidth="1"/>
    <col min="20" max="16384" width="8.75" style="8"/>
  </cols>
  <sheetData>
    <row r="1" spans="1:19">
      <c r="A1" s="8" t="str">
        <f>'Lights and Motorcycles'!A1</f>
        <v>Leg</v>
      </c>
      <c r="B1" s="12" t="str">
        <f>'Lights and Motorcycles'!B1</f>
        <v>US 301</v>
      </c>
      <c r="C1" s="12"/>
      <c r="D1" s="12"/>
      <c r="E1" s="12"/>
      <c r="F1" s="12"/>
      <c r="G1" s="12"/>
      <c r="H1" s="12" t="str">
        <f>'Lights and Motorcycles'!H1</f>
        <v>SE 53RD ST</v>
      </c>
      <c r="I1" s="12"/>
      <c r="J1" s="12"/>
      <c r="K1" s="12"/>
      <c r="L1" s="12"/>
      <c r="M1" s="12"/>
      <c r="N1" s="12" t="str">
        <f>'Lights and Motorcycles'!N1</f>
        <v>US 301</v>
      </c>
      <c r="O1" s="12"/>
      <c r="P1" s="12"/>
      <c r="Q1" s="12"/>
      <c r="R1" s="12"/>
      <c r="S1" s="12"/>
    </row>
    <row r="2" spans="1:19">
      <c r="A2" s="8" t="str">
        <f>'Lights and Motorcycles'!A2</f>
        <v>Direction</v>
      </c>
      <c r="B2" s="12" t="str">
        <f>'Lights and Motorcycles'!B2</f>
        <v>Southbound</v>
      </c>
      <c r="C2" s="12"/>
      <c r="D2" s="12"/>
      <c r="E2" s="12"/>
      <c r="F2" s="12"/>
      <c r="G2" s="12"/>
      <c r="H2" s="12" t="str">
        <f>'Lights and Motorcycles'!H2</f>
        <v>Westbound</v>
      </c>
      <c r="I2" s="12"/>
      <c r="J2" s="12"/>
      <c r="K2" s="12"/>
      <c r="L2" s="12"/>
      <c r="M2" s="12"/>
      <c r="N2" s="12" t="str">
        <f>'Lights and Motorcycles'!N2</f>
        <v>Northbound</v>
      </c>
      <c r="O2" s="12"/>
      <c r="P2" s="12"/>
      <c r="Q2" s="12"/>
      <c r="R2" s="12"/>
      <c r="S2" s="12"/>
    </row>
    <row r="3" spans="1:19">
      <c r="A3" s="9" t="str">
        <f>'Lights and Motorcycles'!A3</f>
        <v>Start Time</v>
      </c>
      <c r="B3" s="10" t="str">
        <f>'Lights and Motorcycles'!B3</f>
        <v>Right</v>
      </c>
      <c r="C3" s="10" t="str">
        <f>'Lights and Motorcycles'!C3</f>
        <v>Thru</v>
      </c>
      <c r="D3" s="10" t="str">
        <f>'Lights and Motorcycles'!D3</f>
        <v>Left</v>
      </c>
      <c r="E3" s="10" t="str">
        <f>'Lights and Motorcycles'!E3</f>
        <v>U-Turn</v>
      </c>
      <c r="F3" s="10" t="str">
        <f>'Lights and Motorcycles'!F3</f>
        <v>Peds CW</v>
      </c>
      <c r="G3" s="10" t="str">
        <f>'Lights and Motorcycles'!G3</f>
        <v>Peds CCW</v>
      </c>
      <c r="H3" s="10" t="str">
        <f>'Lights and Motorcycles'!H3</f>
        <v>Right</v>
      </c>
      <c r="I3" s="10" t="str">
        <f>'Lights and Motorcycles'!I3</f>
        <v>Thru</v>
      </c>
      <c r="J3" s="10" t="str">
        <f>'Lights and Motorcycles'!J3</f>
        <v>Left</v>
      </c>
      <c r="K3" s="10" t="str">
        <f>'Lights and Motorcycles'!K3</f>
        <v>U-Turn</v>
      </c>
      <c r="L3" s="10" t="str">
        <f>'Lights and Motorcycles'!L3</f>
        <v>Peds CW</v>
      </c>
      <c r="M3" s="10" t="str">
        <f>'Lights and Motorcycles'!M3</f>
        <v>Peds CCW</v>
      </c>
      <c r="N3" s="10" t="str">
        <f>'Lights and Motorcycles'!N3</f>
        <v>Right</v>
      </c>
      <c r="O3" s="10" t="str">
        <f>'Lights and Motorcycles'!O3</f>
        <v>Thru</v>
      </c>
      <c r="P3" s="10" t="str">
        <f>'Lights and Motorcycles'!P3</f>
        <v>Left</v>
      </c>
      <c r="Q3" s="10" t="str">
        <f>'Lights and Motorcycles'!Q3</f>
        <v>U-Turn</v>
      </c>
      <c r="R3" s="10" t="str">
        <f>'Lights and Motorcycles'!R3</f>
        <v>Peds CW</v>
      </c>
      <c r="S3" s="10" t="str">
        <f>'Lights and Motorcycles'!S3</f>
        <v>Peds CCW</v>
      </c>
    </row>
    <row r="4" spans="1:19">
      <c r="A4" s="11">
        <f>'Lights and Motorcycles'!A4</f>
        <v>46050.270831828704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</row>
    <row r="5" spans="1:19">
      <c r="A5" s="11">
        <f>'Lights and Motorcycles'!A5</f>
        <v>46050.281248437503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</row>
    <row r="6" spans="1:19">
      <c r="A6" s="11">
        <f>'Lights and Motorcycles'!A6</f>
        <v>46050.291665046294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</row>
    <row r="7" spans="1:19">
      <c r="A7" s="11">
        <f>'Lights and Motorcycles'!A7</f>
        <v>46050.302081655092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</row>
    <row r="8" spans="1:19">
      <c r="A8" s="11">
        <f>'Lights and Motorcycles'!A8</f>
        <v>46050.312498263891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</row>
    <row r="9" spans="1:19">
      <c r="A9" s="11">
        <f>'Lights and Motorcycles'!A9</f>
        <v>46050.322914872682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</row>
    <row r="10" spans="1:19">
      <c r="A10" s="11">
        <f>'Lights and Motorcycles'!A10</f>
        <v>46050.333331481481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</row>
    <row r="11" spans="1:19">
      <c r="A11" s="11">
        <f>'Lights and Motorcycles'!A11</f>
        <v>46050.343748090279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</row>
    <row r="12" spans="1:19">
      <c r="A12" s="11">
        <f>'Lights and Motorcycles'!A12</f>
        <v>46050.354164699071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</row>
    <row r="13" spans="1:19">
      <c r="A13" s="11">
        <f>'Lights and Motorcycles'!A13</f>
        <v>46050.364581307869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</row>
    <row r="14" spans="1:19">
      <c r="A14" s="11">
        <f>'Lights and Motorcycles'!A14</f>
        <v>46050.374997916668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</row>
    <row r="15" spans="1:19">
      <c r="A15" s="11">
        <f>'Lights and Motorcycles'!A15</f>
        <v>46050.385414525466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</row>
    <row r="16" spans="1:19">
      <c r="A16" s="11">
        <f>'Lights and Motorcycles'!A16</f>
        <v>46050.395831134258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</row>
    <row r="17" spans="1:19">
      <c r="A17" s="11">
        <f>'Lights and Motorcycles'!A17</f>
        <v>46050.406247743056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</row>
    <row r="18" spans="1:19">
      <c r="A18" s="11">
        <f>'Lights and Motorcycles'!A18</f>
        <v>46050.416664351855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</row>
    <row r="19" spans="1:19">
      <c r="A19" s="11">
        <f>'Lights and Motorcycles'!A19</f>
        <v>46050.427080960646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</row>
    <row r="20" spans="1:19">
      <c r="A20" s="11">
        <f>'Lights and Motorcycles'!A20</f>
        <v>46050.604163310185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</row>
    <row r="21" spans="1:19">
      <c r="A21" s="11">
        <f>'Lights and Motorcycles'!A21</f>
        <v>46050.614579918984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</row>
    <row r="22" spans="1:19">
      <c r="A22" s="11">
        <f>'Lights and Motorcycles'!A22</f>
        <v>46050.624996527775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</row>
    <row r="23" spans="1:19">
      <c r="A23" s="11">
        <f>'Lights and Motorcycles'!A23</f>
        <v>46050.635413136573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</row>
    <row r="24" spans="1:19">
      <c r="A24" s="11">
        <f>'Lights and Motorcycles'!A24</f>
        <v>46050.645829745372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</row>
    <row r="25" spans="1:19">
      <c r="A25" s="11">
        <f>'Lights and Motorcycles'!A25</f>
        <v>46050.656246354163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</row>
    <row r="26" spans="1:19">
      <c r="A26" s="11">
        <f>'Lights and Motorcycles'!A26</f>
        <v>46050.666662962962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</row>
    <row r="27" spans="1:19">
      <c r="A27" s="11">
        <f>'Lights and Motorcycles'!A27</f>
        <v>46050.67707957176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</row>
    <row r="28" spans="1:19">
      <c r="A28" s="11">
        <f>'Lights and Motorcycles'!A28</f>
        <v>46050.687496180559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</row>
    <row r="29" spans="1:19">
      <c r="A29" s="11">
        <f>'Lights and Motorcycles'!A29</f>
        <v>46050.69791278935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</row>
    <row r="30" spans="1:19">
      <c r="A30" s="11">
        <f>'Lights and Motorcycles'!A30</f>
        <v>46050.708329398149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</row>
    <row r="31" spans="1:19">
      <c r="A31" s="11">
        <f>'Lights and Motorcycles'!A31</f>
        <v>46050.718746006947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</row>
    <row r="32" spans="1:19">
      <c r="A32" s="11">
        <f>'Lights and Motorcycles'!A32</f>
        <v>46050.729162615738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</row>
    <row r="33" spans="1:19">
      <c r="A33" s="11">
        <f>'Lights and Motorcycles'!A33</f>
        <v>46050.739579224537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</row>
    <row r="34" spans="1:19">
      <c r="A34" s="11">
        <f>'Lights and Motorcycles'!A34</f>
        <v>46050.749995833336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</row>
    <row r="35" spans="1:19">
      <c r="A35" s="11">
        <f>'Lights and Motorcycles'!A35</f>
        <v>46050.760412442127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</row>
    <row r="36" spans="1:19">
      <c r="A36" s="11"/>
    </row>
    <row r="37" spans="1:19">
      <c r="A37" s="11"/>
    </row>
    <row r="38" spans="1:19">
      <c r="A38" s="11"/>
    </row>
    <row r="39" spans="1:19">
      <c r="A39" s="11"/>
    </row>
    <row r="40" spans="1:19">
      <c r="A40" s="11"/>
    </row>
    <row r="41" spans="1:19">
      <c r="A41" s="11"/>
    </row>
    <row r="42" spans="1:19">
      <c r="A42" s="11"/>
    </row>
    <row r="43" spans="1:19">
      <c r="A43" s="11"/>
    </row>
    <row r="44" spans="1:19">
      <c r="A44" s="11"/>
    </row>
    <row r="45" spans="1:19">
      <c r="A45" s="11"/>
    </row>
    <row r="46" spans="1:19">
      <c r="A46" s="11"/>
    </row>
    <row r="47" spans="1:19">
      <c r="A47" s="11"/>
    </row>
    <row r="48" spans="1:19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</sheetData>
  <mergeCells count="6">
    <mergeCell ref="B1:G1"/>
    <mergeCell ref="H1:M1"/>
    <mergeCell ref="N1:S1"/>
    <mergeCell ref="B2:G2"/>
    <mergeCell ref="H2:M2"/>
    <mergeCell ref="N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Lights and Motorcycles</vt:lpstr>
      <vt:lpstr>Heavy</vt:lpstr>
      <vt:lpstr>Pedestrians</vt:lpstr>
      <vt:lpstr>Bicycles on Crosswalk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dc</cp:lastModifiedBy>
  <cp:revision>0</cp:revision>
  <dcterms:created xsi:type="dcterms:W3CDTF">2025-09-03T13:47:00Z</dcterms:created>
  <dcterms:modified xsi:type="dcterms:W3CDTF">2026-01-31T13:30:07Z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37737D5D03774439BC4716ADE8B9DF31_13</vt:lpwstr>
  </property>
  <property fmtid="{D5CDD505-2E9C-101B-9397-08002B2CF9AE}" pid="3" name="KSOProductBuildVer">
    <vt:lpwstr>1033-12.2.0.22549</vt:lpwstr>
  </property>
</Properties>
</file>